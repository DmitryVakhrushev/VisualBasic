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30720" windowHeight="13728" activeTab="2"/>
  </bookViews>
  <sheets>
    <sheet name="Pivot" sheetId="11" r:id="rId1"/>
    <sheet name="ColorIndex" sheetId="1" r:id="rId2"/>
    <sheet name="Quick Current Date and Time" sheetId="8" r:id="rId3"/>
    <sheet name="Repeat Task" sheetId="9" r:id="rId4"/>
  </sheets>
  <functionGroups builtInGroupCount="18"/>
  <definedNames>
    <definedName name="_xlnm._FilterDatabase" localSheetId="1" hidden="1">ColorIndex!$A$1:$H$23</definedName>
    <definedName name="Customers">#REF!</definedName>
    <definedName name="InterestRate">#REF!</definedName>
    <definedName name="LoanAmount">#REF!</definedName>
    <definedName name="LoanYears">#REF!</definedName>
    <definedName name="MonthlyPayments">#REF!</definedName>
    <definedName name="PaymentsDue">#REF!</definedName>
    <definedName name="TotalPayments">#REF!</definedName>
  </definedNames>
  <calcPr calcId="152511"/>
  <pivotCaches>
    <pivotCache cacheId="0" r:id="rId5"/>
    <pivotCache cacheId="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H3" i="1"/>
  <c r="H11" i="1"/>
  <c r="H19" i="1"/>
  <c r="H20" i="1"/>
  <c r="H5" i="1"/>
  <c r="H21" i="1"/>
  <c r="H14" i="1"/>
  <c r="H22" i="1"/>
  <c r="H15" i="1"/>
  <c r="H16" i="1"/>
  <c r="H9" i="1"/>
  <c r="H18" i="1"/>
  <c r="H4" i="1"/>
  <c r="H12" i="1"/>
  <c r="H13" i="1"/>
  <c r="H6" i="1"/>
  <c r="H7" i="1"/>
  <c r="H23" i="1"/>
  <c r="H8" i="1"/>
  <c r="H17" i="1"/>
  <c r="H10" i="1"/>
  <c r="H2" i="1"/>
  <c r="W3" i="1" l="1"/>
  <c r="J3" i="1"/>
  <c r="V3" i="1"/>
</calcChain>
</file>

<file path=xl/sharedStrings.xml><?xml version="1.0" encoding="utf-8"?>
<sst xmlns="http://schemas.openxmlformats.org/spreadsheetml/2006/main" count="77" uniqueCount="26">
  <si>
    <t>Sale_Date</t>
  </si>
  <si>
    <t>Item_Value</t>
  </si>
  <si>
    <t>Sale_Quantity</t>
  </si>
  <si>
    <t>Customer_ID</t>
  </si>
  <si>
    <t>Bruce</t>
  </si>
  <si>
    <t>Collins</t>
  </si>
  <si>
    <t>Omar</t>
  </si>
  <si>
    <t>Year</t>
  </si>
  <si>
    <t>Row Labels</t>
  </si>
  <si>
    <t>Grand Total</t>
  </si>
  <si>
    <t>Count of Item_Value</t>
  </si>
  <si>
    <t>Month</t>
  </si>
  <si>
    <t>Sum of Item_Value2</t>
  </si>
  <si>
    <t>Quantity</t>
  </si>
  <si>
    <t>Value</t>
  </si>
  <si>
    <t>Tina</t>
  </si>
  <si>
    <t>Sale_ID</t>
  </si>
  <si>
    <t>ColorIndex</t>
  </si>
  <si>
    <t>Time</t>
  </si>
  <si>
    <t>Date</t>
  </si>
  <si>
    <t>Date and Time</t>
  </si>
  <si>
    <t>Green</t>
  </si>
  <si>
    <t>Amber</t>
  </si>
  <si>
    <t>Red</t>
  </si>
  <si>
    <t>(blank)</t>
  </si>
  <si>
    <t>Count of Sale_ID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</si>
</sst>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£&quot;#,##0.00;\-&quot;£&quot;#,##0.00"/>
    <numFmt numFmtId="44" formatCode="_-&quot;£&quot;* #,##0.00_-;\-&quot;£&quot;* #,##0.00_-;_-&quot;£&quot;* &quot;-&quot;??_-;_-@_-"/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0" fontId="2" fillId="2" borderId="1" xfId="2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2" applyFill="1" applyBorder="1" applyAlignment="1">
      <alignment horizontal="center" vertical="center"/>
    </xf>
    <xf numFmtId="20" fontId="0" fillId="0" borderId="0" xfId="0" applyNumberFormat="1"/>
    <xf numFmtId="22" fontId="0" fillId="0" borderId="0" xfId="0" applyNumberFormat="1"/>
    <xf numFmtId="15" fontId="0" fillId="0" borderId="0" xfId="0" applyNumberFormat="1"/>
    <xf numFmtId="7" fontId="0" fillId="0" borderId="0" xfId="0" applyNumberFormat="1"/>
    <xf numFmtId="0" fontId="3" fillId="3" borderId="0" xfId="3"/>
    <xf numFmtId="0" fontId="4" fillId="4" borderId="0" xfId="4"/>
    <xf numFmtId="0" fontId="5" fillId="5" borderId="0" xfId="5"/>
    <xf numFmtId="0" fontId="6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6" borderId="0" xfId="0" applyNumberFormat="1" applyFill="1"/>
    <xf numFmtId="14" fontId="0" fillId="7" borderId="0" xfId="0" applyNumberFormat="1" applyFill="1"/>
    <xf numFmtId="14" fontId="0" fillId="8" borderId="0" xfId="0" applyNumberFormat="1" applyFill="1"/>
    <xf numFmtId="44" fontId="0" fillId="6" borderId="0" xfId="1" applyFont="1" applyFill="1"/>
    <xf numFmtId="44" fontId="0" fillId="7" borderId="0" xfId="1" applyFont="1" applyFill="1"/>
    <xf numFmtId="44" fontId="0" fillId="8" borderId="0" xfId="1" applyFont="1" applyFill="1"/>
    <xf numFmtId="0" fontId="0" fillId="6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7" borderId="0" xfId="0" applyFill="1" applyAlignment="1">
      <alignment horizontal="left"/>
    </xf>
  </cellXfs>
  <cellStyles count="6">
    <cellStyle name="Bad" xfId="4" builtinId="27"/>
    <cellStyle name="Currency" xfId="1" builtinId="4"/>
    <cellStyle name="Good" xfId="3" builtinId="26"/>
    <cellStyle name="Heading 4" xfId="2" builtinId="19"/>
    <cellStyle name="Neutral" xfId="5" builtinId="28"/>
    <cellStyle name="Normal" xfId="0" builtinId="0"/>
  </cellStyles>
  <dxfs count="3">
    <dxf>
      <fill>
        <patternFill patternType="solid">
          <bgColor indexed="45"/>
        </patternFill>
      </fill>
    </dxf>
    <dxf>
      <fill>
        <patternFill patternType="solid">
          <bgColor indexed="43"/>
        </patternFill>
      </fill>
    </dxf>
    <dxf>
      <fill>
        <patternFill patternType="solid"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tthew" refreshedDate="41742.471113657404" createdVersion="5" refreshedVersion="5" minRefreshableVersion="3" recordCount="16">
  <cacheSource type="worksheet">
    <worksheetSource ref="A1:G1048576" sheet="ColorIndex"/>
  </cacheSource>
  <cacheFields count="6">
    <cacheField name="Sale_Date" numFmtId="0">
      <sharedItems containsNonDate="0" containsDate="1" containsString="0" containsBlank="1" minDate="2013-10-07T00:00:00" maxDate="2014-04-05T00:00:00"/>
    </cacheField>
    <cacheField name="Month" numFmtId="0">
      <sharedItems containsString="0" containsBlank="1" containsNumber="1" containsInteger="1" minValue="1" maxValue="12" count="8">
        <n v="1"/>
        <n v="2"/>
        <n v="10"/>
        <n v="11"/>
        <n v="12"/>
        <n v="3"/>
        <n v="4"/>
        <m/>
      </sharedItems>
    </cacheField>
    <cacheField name="Year" numFmtId="0">
      <sharedItems containsString="0" containsBlank="1" containsNumber="1" containsInteger="1" minValue="2013" maxValue="2014" count="3">
        <n v="2014"/>
        <n v="2013"/>
        <m/>
      </sharedItems>
    </cacheField>
    <cacheField name="Item_Value" numFmtId="0">
      <sharedItems containsString="0" containsBlank="1" containsNumber="1" containsInteger="1" minValue="1" maxValue="12"/>
    </cacheField>
    <cacheField name="Sale_Quantity" numFmtId="0">
      <sharedItems containsString="0" containsBlank="1" containsNumber="1" containsInteger="1" minValue="1" maxValue="10"/>
    </cacheField>
    <cacheField name="Customer_ID" numFmtId="0">
      <sharedItems containsBlank="1" count="5">
        <s v="Bruce"/>
        <s v="Collins"/>
        <s v="Tina"/>
        <s v="Oma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tthew" refreshedDate="41765.923875578701" createdVersion="5" refreshedVersion="5" minRefreshableVersion="3" recordCount="23">
  <cacheSource type="worksheet">
    <worksheetSource ref="A1:H1048576" sheet="ColorIndex"/>
  </cacheSource>
  <cacheFields count="8">
    <cacheField name="Sale_Date" numFmtId="0">
      <sharedItems containsNonDate="0" containsDate="1" containsString="0" containsBlank="1" minDate="2013-10-07T00:00:00" maxDate="2014-04-05T00:00:00"/>
    </cacheField>
    <cacheField name="Sale_ID" numFmtId="0">
      <sharedItems containsString="0" containsBlank="1" containsNumber="1" containsInteger="1" minValue="141001" maxValue="141022"/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13" maxValue="2014"/>
    </cacheField>
    <cacheField name="Item_Value" numFmtId="0">
      <sharedItems containsString="0" containsBlank="1" containsNumber="1" containsInteger="1" minValue="1" maxValue="12"/>
    </cacheField>
    <cacheField name="Sale_Quantity" numFmtId="0">
      <sharedItems containsString="0" containsBlank="1" containsNumber="1" containsInteger="1" minValue="1" maxValue="10"/>
    </cacheField>
    <cacheField name="Customer_ID" numFmtId="0">
      <sharedItems containsBlank="1"/>
    </cacheField>
    <cacheField name="ColorIndex" numFmtId="0">
      <sharedItems containsString="0" containsBlank="1" containsNumber="1" containsInteger="1" minValue="35" maxValue="38" count="4">
        <n v="35"/>
        <n v="38"/>
        <n v="3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d v="2014-01-03T00:00:00"/>
    <x v="0"/>
    <x v="0"/>
    <n v="1"/>
    <n v="2"/>
    <x v="0"/>
  </r>
  <r>
    <d v="2014-02-08T00:00:00"/>
    <x v="1"/>
    <x v="0"/>
    <n v="10"/>
    <n v="5"/>
    <x v="0"/>
  </r>
  <r>
    <d v="2014-02-07T00:00:00"/>
    <x v="1"/>
    <x v="0"/>
    <n v="10"/>
    <n v="1"/>
    <x v="1"/>
  </r>
  <r>
    <d v="2013-10-07T00:00:00"/>
    <x v="2"/>
    <x v="1"/>
    <n v="3"/>
    <n v="2"/>
    <x v="1"/>
  </r>
  <r>
    <d v="2014-01-04T00:00:00"/>
    <x v="0"/>
    <x v="0"/>
    <n v="12"/>
    <n v="10"/>
    <x v="2"/>
  </r>
  <r>
    <d v="2013-11-07T00:00:00"/>
    <x v="3"/>
    <x v="1"/>
    <n v="3"/>
    <n v="2"/>
    <x v="3"/>
  </r>
  <r>
    <d v="2013-11-07T00:00:00"/>
    <x v="3"/>
    <x v="1"/>
    <n v="6"/>
    <n v="1"/>
    <x v="3"/>
  </r>
  <r>
    <d v="2013-12-09T00:00:00"/>
    <x v="4"/>
    <x v="1"/>
    <n v="6"/>
    <n v="1"/>
    <x v="3"/>
  </r>
  <r>
    <d v="2014-01-04T00:00:00"/>
    <x v="0"/>
    <x v="0"/>
    <n v="12"/>
    <n v="10"/>
    <x v="1"/>
  </r>
  <r>
    <d v="2014-03-04T00:00:00"/>
    <x v="5"/>
    <x v="0"/>
    <n v="12"/>
    <n v="10"/>
    <x v="1"/>
  </r>
  <r>
    <d v="2014-04-04T00:00:00"/>
    <x v="6"/>
    <x v="0"/>
    <n v="12"/>
    <n v="10"/>
    <x v="2"/>
  </r>
  <r>
    <m/>
    <x v="7"/>
    <x v="2"/>
    <m/>
    <m/>
    <x v="4"/>
  </r>
  <r>
    <m/>
    <x v="7"/>
    <x v="2"/>
    <m/>
    <m/>
    <x v="4"/>
  </r>
  <r>
    <m/>
    <x v="7"/>
    <x v="2"/>
    <m/>
    <m/>
    <x v="4"/>
  </r>
  <r>
    <m/>
    <x v="7"/>
    <x v="2"/>
    <m/>
    <m/>
    <x v="4"/>
  </r>
  <r>
    <m/>
    <x v="7"/>
    <x v="2"/>
    <m/>
    <m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d v="2013-10-07T00:00:00"/>
    <n v="141004"/>
    <n v="10"/>
    <n v="2013"/>
    <n v="3"/>
    <n v="2"/>
    <s v="Collins"/>
    <x v="0"/>
  </r>
  <r>
    <d v="2013-10-07T00:00:00"/>
    <n v="141015"/>
    <n v="10"/>
    <n v="2013"/>
    <n v="3"/>
    <n v="2"/>
    <s v="Collins"/>
    <x v="1"/>
  </r>
  <r>
    <d v="2013-11-07T00:00:00"/>
    <n v="141006"/>
    <n v="11"/>
    <n v="2013"/>
    <n v="3"/>
    <n v="2"/>
    <s v="Omar"/>
    <x v="0"/>
  </r>
  <r>
    <d v="2013-11-07T00:00:00"/>
    <n v="141007"/>
    <n v="11"/>
    <n v="2013"/>
    <n v="6"/>
    <n v="1"/>
    <s v="Omar"/>
    <x v="0"/>
  </r>
  <r>
    <d v="2013-11-07T00:00:00"/>
    <n v="141017"/>
    <n v="11"/>
    <n v="2013"/>
    <n v="3"/>
    <n v="2"/>
    <s v="Omar"/>
    <x v="1"/>
  </r>
  <r>
    <d v="2013-11-07T00:00:00"/>
    <n v="141018"/>
    <n v="11"/>
    <n v="2013"/>
    <n v="6"/>
    <n v="1"/>
    <s v="Omar"/>
    <x v="2"/>
  </r>
  <r>
    <d v="2013-12-09T00:00:00"/>
    <n v="141008"/>
    <n v="12"/>
    <n v="2013"/>
    <n v="6"/>
    <n v="1"/>
    <s v="Omar"/>
    <x v="2"/>
  </r>
  <r>
    <d v="2013-12-09T00:00:00"/>
    <n v="141019"/>
    <n v="12"/>
    <n v="2013"/>
    <n v="6"/>
    <n v="1"/>
    <s v="Omar"/>
    <x v="1"/>
  </r>
  <r>
    <d v="2014-01-03T00:00:00"/>
    <n v="141001"/>
    <n v="1"/>
    <n v="2014"/>
    <n v="1"/>
    <n v="2"/>
    <s v="Bruce"/>
    <x v="0"/>
  </r>
  <r>
    <d v="2014-01-03T00:00:00"/>
    <n v="141012"/>
    <n v="1"/>
    <n v="2014"/>
    <n v="1"/>
    <n v="2"/>
    <s v="Bruce"/>
    <x v="1"/>
  </r>
  <r>
    <d v="2014-01-04T00:00:00"/>
    <n v="141005"/>
    <n v="1"/>
    <n v="2014"/>
    <n v="12"/>
    <n v="10"/>
    <s v="Tina"/>
    <x v="0"/>
  </r>
  <r>
    <d v="2014-01-04T00:00:00"/>
    <n v="141009"/>
    <n v="1"/>
    <n v="2014"/>
    <n v="12"/>
    <n v="10"/>
    <s v="Collins"/>
    <x v="0"/>
  </r>
  <r>
    <d v="2014-01-04T00:00:00"/>
    <n v="141016"/>
    <n v="1"/>
    <n v="2014"/>
    <n v="12"/>
    <n v="10"/>
    <s v="Tina"/>
    <x v="1"/>
  </r>
  <r>
    <d v="2014-01-04T00:00:00"/>
    <n v="141020"/>
    <n v="1"/>
    <n v="2014"/>
    <n v="12"/>
    <n v="10"/>
    <s v="Collins"/>
    <x v="2"/>
  </r>
  <r>
    <d v="2014-02-07T00:00:00"/>
    <n v="141003"/>
    <n v="2"/>
    <n v="2014"/>
    <n v="10"/>
    <n v="1"/>
    <s v="Collins"/>
    <x v="2"/>
  </r>
  <r>
    <d v="2014-02-07T00:00:00"/>
    <n v="141014"/>
    <n v="2"/>
    <n v="2014"/>
    <n v="10"/>
    <n v="1"/>
    <s v="Collins"/>
    <x v="1"/>
  </r>
  <r>
    <d v="2014-02-08T00:00:00"/>
    <n v="141002"/>
    <n v="2"/>
    <n v="2014"/>
    <n v="10"/>
    <n v="5"/>
    <s v="Bruce"/>
    <x v="2"/>
  </r>
  <r>
    <d v="2014-02-08T00:00:00"/>
    <n v="141013"/>
    <n v="2"/>
    <n v="2014"/>
    <n v="10"/>
    <n v="5"/>
    <s v="Bruce"/>
    <x v="2"/>
  </r>
  <r>
    <d v="2014-03-04T00:00:00"/>
    <n v="141010"/>
    <n v="3"/>
    <n v="2014"/>
    <n v="12"/>
    <n v="10"/>
    <s v="Collins"/>
    <x v="2"/>
  </r>
  <r>
    <d v="2014-03-04T00:00:00"/>
    <n v="141021"/>
    <n v="3"/>
    <n v="2014"/>
    <n v="12"/>
    <n v="10"/>
    <s v="Collins"/>
    <x v="0"/>
  </r>
  <r>
    <d v="2014-04-04T00:00:00"/>
    <n v="141011"/>
    <n v="4"/>
    <n v="2014"/>
    <n v="12"/>
    <n v="10"/>
    <s v="Tina"/>
    <x v="0"/>
  </r>
  <r>
    <d v="2014-04-04T00:00:00"/>
    <n v="141022"/>
    <n v="4"/>
    <n v="2014"/>
    <n v="12"/>
    <n v="10"/>
    <s v="Tina"/>
    <x v="0"/>
  </r>
  <r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8" firstHeaderRow="1" firstDataRow="1" firstDataCol="1"/>
  <pivotFields count="8"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Sale_ID" fld="1" subtotal="count" baseField="0" baseItem="0"/>
  </dataFields>
  <formats count="3">
    <format dxfId="2">
      <pivotArea dataOnly="0" labelOnly="1" fieldPosition="0">
        <references count="1">
          <reference field="7" count="1">
            <x v="0"/>
          </reference>
        </references>
      </pivotArea>
    </format>
    <format dxfId="1">
      <pivotArea dataOnly="0" labelOnly="1" fieldPosition="0">
        <references count="1">
          <reference field="7" count="1">
            <x v="1"/>
          </reference>
        </references>
      </pivotArea>
    </format>
    <format dxfId="0">
      <pivotArea dataOnly="0" labelOnly="1" fieldPosition="0">
        <references count="1">
          <reference field="7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R1:T6" firstHeaderRow="0" firstDataRow="1" firstDataCol="1"/>
  <pivotFields count="6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3"/>
        <item h="1" x="4"/>
        <item x="2"/>
        <item t="default"/>
      </items>
    </pivotField>
  </pivotFields>
  <rowFields count="1">
    <field x="5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Item_Value" fld="3" subtotal="count" baseField="0" baseItem="0"/>
    <dataField name="Sum of Item_Value2" fld="3" baseField="5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L1:N11" firstHeaderRow="0" firstDataRow="1" firstDataCol="1"/>
  <pivotFields count="6">
    <pivotField showAll="0"/>
    <pivotField axis="axisRow" showAll="0">
      <items count="9">
        <item x="0"/>
        <item x="1"/>
        <item x="5"/>
        <item x="6"/>
        <item x="2"/>
        <item x="3"/>
        <item x="4"/>
        <item h="1" x="7"/>
        <item t="default"/>
      </items>
    </pivotField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2">
    <field x="2"/>
    <field x="1"/>
  </rowFields>
  <rowItems count="10">
    <i>
      <x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ty" fld="3" subtotal="count" baseField="0" baseItem="0"/>
    <dataField name="Value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B13" sqref="B13"/>
    </sheetView>
  </sheetViews>
  <sheetFormatPr defaultRowHeight="14.4" x14ac:dyDescent="0.3"/>
  <cols>
    <col min="1" max="1" width="12.5546875" bestFit="1" customWidth="1"/>
    <col min="2" max="2" width="15.109375" bestFit="1" customWidth="1"/>
  </cols>
  <sheetData>
    <row r="3" spans="1:2" x14ac:dyDescent="0.3">
      <c r="A3" s="2" t="s">
        <v>8</v>
      </c>
      <c r="B3" t="s">
        <v>25</v>
      </c>
    </row>
    <row r="4" spans="1:2" x14ac:dyDescent="0.3">
      <c r="A4" s="27">
        <v>35</v>
      </c>
      <c r="B4" s="4">
        <v>9</v>
      </c>
    </row>
    <row r="5" spans="1:2" x14ac:dyDescent="0.3">
      <c r="A5" s="28">
        <v>36</v>
      </c>
      <c r="B5" s="4">
        <v>7</v>
      </c>
    </row>
    <row r="6" spans="1:2" x14ac:dyDescent="0.3">
      <c r="A6" s="29">
        <v>38</v>
      </c>
      <c r="B6" s="4">
        <v>6</v>
      </c>
    </row>
    <row r="7" spans="1:2" x14ac:dyDescent="0.3">
      <c r="A7" s="3" t="s">
        <v>24</v>
      </c>
      <c r="B7" s="4"/>
    </row>
    <row r="8" spans="1:2" x14ac:dyDescent="0.3">
      <c r="A8" s="3" t="s">
        <v>9</v>
      </c>
      <c r="B8" s="4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3"/>
  <sheetViews>
    <sheetView topLeftCell="A4" workbookViewId="0">
      <selection activeCell="D32" sqref="D32:D33"/>
    </sheetView>
  </sheetViews>
  <sheetFormatPr defaultRowHeight="14.4" x14ac:dyDescent="0.3"/>
  <cols>
    <col min="1" max="1" width="13.77734375" style="8" bestFit="1" customWidth="1"/>
    <col min="2" max="4" width="9.6640625" style="8" customWidth="1"/>
    <col min="5" max="5" width="13.5546875" style="8" bestFit="1" customWidth="1"/>
    <col min="6" max="6" width="12.33203125" style="8" bestFit="1" customWidth="1"/>
    <col min="7" max="7" width="11.88671875" style="8" bestFit="1" customWidth="1"/>
    <col min="8" max="8" width="14.88671875" customWidth="1"/>
    <col min="11" max="11" width="0" hidden="1" customWidth="1"/>
    <col min="12" max="12" width="12.5546875" hidden="1" customWidth="1"/>
    <col min="13" max="13" width="8.33203125" hidden="1" customWidth="1"/>
    <col min="14" max="14" width="6.5546875" hidden="1" customWidth="1"/>
    <col min="15" max="17" width="0" hidden="1" customWidth="1"/>
    <col min="18" max="18" width="12.5546875" hidden="1" customWidth="1"/>
    <col min="19" max="19" width="18.6640625" hidden="1" customWidth="1"/>
    <col min="20" max="20" width="18.33203125" hidden="1" customWidth="1"/>
    <col min="21" max="21" width="3.88671875" hidden="1" customWidth="1"/>
    <col min="22" max="22" width="15.6640625" bestFit="1" customWidth="1"/>
  </cols>
  <sheetData>
    <row r="1" spans="1:23" ht="15" thickBot="1" x14ac:dyDescent="0.35">
      <c r="A1" s="7" t="s">
        <v>0</v>
      </c>
      <c r="B1" s="7" t="s">
        <v>16</v>
      </c>
      <c r="C1" s="7" t="s">
        <v>11</v>
      </c>
      <c r="D1" s="7" t="s">
        <v>7</v>
      </c>
      <c r="E1" s="7" t="s">
        <v>1</v>
      </c>
      <c r="F1" s="7" t="s">
        <v>2</v>
      </c>
      <c r="G1" s="7" t="s">
        <v>3</v>
      </c>
      <c r="H1" s="9" t="s">
        <v>17</v>
      </c>
      <c r="L1" s="2" t="s">
        <v>8</v>
      </c>
      <c r="M1" t="s">
        <v>13</v>
      </c>
      <c r="N1" t="s">
        <v>14</v>
      </c>
      <c r="R1" s="2" t="s">
        <v>8</v>
      </c>
      <c r="S1" t="s">
        <v>10</v>
      </c>
      <c r="T1" t="s">
        <v>12</v>
      </c>
    </row>
    <row r="2" spans="1:23" x14ac:dyDescent="0.3">
      <c r="A2" s="21">
        <v>41554</v>
      </c>
      <c r="B2" s="18">
        <v>141004</v>
      </c>
      <c r="C2" s="18">
        <f>MONTH(A2)</f>
        <v>10</v>
      </c>
      <c r="D2" s="18">
        <f>YEAR(A2)</f>
        <v>2013</v>
      </c>
      <c r="E2" s="24">
        <v>3</v>
      </c>
      <c r="F2" s="18">
        <v>2</v>
      </c>
      <c r="G2" s="18" t="s">
        <v>5</v>
      </c>
      <c r="H2" s="18">
        <f>colorindex(G2)</f>
        <v>35</v>
      </c>
      <c r="J2" s="14" t="s">
        <v>21</v>
      </c>
      <c r="L2" s="3">
        <v>2013</v>
      </c>
      <c r="M2" s="4">
        <v>4</v>
      </c>
      <c r="N2" s="6">
        <v>18</v>
      </c>
      <c r="R2" s="3" t="s">
        <v>4</v>
      </c>
      <c r="S2" s="4">
        <v>2</v>
      </c>
      <c r="T2" s="6">
        <v>11</v>
      </c>
      <c r="V2" s="16" t="s">
        <v>22</v>
      </c>
      <c r="W2" s="15" t="s">
        <v>23</v>
      </c>
    </row>
    <row r="3" spans="1:23" x14ac:dyDescent="0.3">
      <c r="A3" s="22">
        <v>41554</v>
      </c>
      <c r="B3" s="19">
        <v>141015</v>
      </c>
      <c r="C3" s="19">
        <f>MONTH(A3)</f>
        <v>10</v>
      </c>
      <c r="D3" s="19">
        <f>YEAR(A3)</f>
        <v>2013</v>
      </c>
      <c r="E3" s="25">
        <v>3</v>
      </c>
      <c r="F3" s="19">
        <v>2</v>
      </c>
      <c r="G3" s="19" t="s">
        <v>5</v>
      </c>
      <c r="H3" s="19">
        <f t="shared" ref="H3:H23" si="0">colorindex(G3)</f>
        <v>38</v>
      </c>
      <c r="J3">
        <f>COUNTIF(H:H,35)</f>
        <v>9</v>
      </c>
      <c r="L3" s="5">
        <v>10</v>
      </c>
      <c r="M3" s="4">
        <v>1</v>
      </c>
      <c r="N3" s="6">
        <v>3</v>
      </c>
      <c r="R3" s="3" t="s">
        <v>5</v>
      </c>
      <c r="S3" s="4">
        <v>4</v>
      </c>
      <c r="T3" s="6">
        <v>37</v>
      </c>
      <c r="V3">
        <f>COUNTIF(H:H,36)</f>
        <v>7</v>
      </c>
      <c r="W3">
        <f>COUNTIF(H:H,38)</f>
        <v>6</v>
      </c>
    </row>
    <row r="4" spans="1:23" x14ac:dyDescent="0.3">
      <c r="A4" s="21">
        <v>41585</v>
      </c>
      <c r="B4" s="18">
        <v>141006</v>
      </c>
      <c r="C4" s="18">
        <f>MONTH(A4)</f>
        <v>11</v>
      </c>
      <c r="D4" s="18">
        <f>YEAR(A4)</f>
        <v>2013</v>
      </c>
      <c r="E4" s="24">
        <v>3</v>
      </c>
      <c r="F4" s="18">
        <v>2</v>
      </c>
      <c r="G4" s="18" t="s">
        <v>6</v>
      </c>
      <c r="H4" s="18">
        <f t="shared" si="0"/>
        <v>35</v>
      </c>
      <c r="L4" s="5">
        <v>11</v>
      </c>
      <c r="M4" s="4">
        <v>2</v>
      </c>
      <c r="N4" s="6">
        <v>9</v>
      </c>
      <c r="R4" s="3" t="s">
        <v>6</v>
      </c>
      <c r="S4" s="4">
        <v>3</v>
      </c>
      <c r="T4" s="6">
        <v>15</v>
      </c>
    </row>
    <row r="5" spans="1:23" x14ac:dyDescent="0.3">
      <c r="A5" s="21">
        <v>41585</v>
      </c>
      <c r="B5" s="18">
        <v>141007</v>
      </c>
      <c r="C5" s="18">
        <f>MONTH(A5)</f>
        <v>11</v>
      </c>
      <c r="D5" s="18">
        <f>YEAR(A5)</f>
        <v>2013</v>
      </c>
      <c r="E5" s="24">
        <v>6</v>
      </c>
      <c r="F5" s="18">
        <v>1</v>
      </c>
      <c r="G5" s="18" t="s">
        <v>6</v>
      </c>
      <c r="H5" s="18">
        <f t="shared" si="0"/>
        <v>35</v>
      </c>
      <c r="L5" s="5">
        <v>12</v>
      </c>
      <c r="M5" s="4">
        <v>1</v>
      </c>
      <c r="N5" s="6">
        <v>6</v>
      </c>
      <c r="R5" s="3" t="s">
        <v>15</v>
      </c>
      <c r="S5" s="4">
        <v>2</v>
      </c>
      <c r="T5" s="6">
        <v>24</v>
      </c>
    </row>
    <row r="6" spans="1:23" x14ac:dyDescent="0.3">
      <c r="A6" s="22">
        <v>41585</v>
      </c>
      <c r="B6" s="19">
        <v>141017</v>
      </c>
      <c r="C6" s="19">
        <f>MONTH(A6)</f>
        <v>11</v>
      </c>
      <c r="D6" s="19">
        <f>YEAR(A6)</f>
        <v>2013</v>
      </c>
      <c r="E6" s="25">
        <v>3</v>
      </c>
      <c r="F6" s="19">
        <v>2</v>
      </c>
      <c r="G6" s="19" t="s">
        <v>6</v>
      </c>
      <c r="H6" s="19">
        <f t="shared" si="0"/>
        <v>38</v>
      </c>
      <c r="L6" s="3">
        <v>2014</v>
      </c>
      <c r="M6" s="4">
        <v>7</v>
      </c>
      <c r="N6" s="6">
        <v>69</v>
      </c>
      <c r="R6" s="3" t="s">
        <v>9</v>
      </c>
      <c r="S6" s="4">
        <v>11</v>
      </c>
      <c r="T6" s="6">
        <v>87</v>
      </c>
    </row>
    <row r="7" spans="1:23" x14ac:dyDescent="0.3">
      <c r="A7" s="23">
        <v>41585</v>
      </c>
      <c r="B7" s="20">
        <v>141018</v>
      </c>
      <c r="C7" s="20">
        <f>MONTH(A7)</f>
        <v>11</v>
      </c>
      <c r="D7" s="20">
        <f>YEAR(A7)</f>
        <v>2013</v>
      </c>
      <c r="E7" s="26">
        <v>6</v>
      </c>
      <c r="F7" s="20">
        <v>1</v>
      </c>
      <c r="G7" s="20" t="s">
        <v>6</v>
      </c>
      <c r="H7" s="20">
        <f t="shared" si="0"/>
        <v>36</v>
      </c>
      <c r="L7" s="5">
        <v>1</v>
      </c>
      <c r="M7" s="4">
        <v>3</v>
      </c>
      <c r="N7" s="6">
        <v>25</v>
      </c>
      <c r="V7" s="11">
        <f>'Quick Current Date and Time'!B3</f>
        <v>41765.884027777778</v>
      </c>
    </row>
    <row r="8" spans="1:23" x14ac:dyDescent="0.3">
      <c r="A8" s="23">
        <v>41617</v>
      </c>
      <c r="B8" s="20">
        <v>141008</v>
      </c>
      <c r="C8" s="20">
        <f>MONTH(A8)</f>
        <v>12</v>
      </c>
      <c r="D8" s="20">
        <f>YEAR(A8)</f>
        <v>2013</v>
      </c>
      <c r="E8" s="26">
        <v>6</v>
      </c>
      <c r="F8" s="20">
        <v>1</v>
      </c>
      <c r="G8" s="20" t="s">
        <v>6</v>
      </c>
      <c r="H8" s="20">
        <f t="shared" si="0"/>
        <v>36</v>
      </c>
      <c r="L8" s="5">
        <v>2</v>
      </c>
      <c r="M8" s="4">
        <v>2</v>
      </c>
      <c r="N8" s="6">
        <v>20</v>
      </c>
    </row>
    <row r="9" spans="1:23" x14ac:dyDescent="0.3">
      <c r="A9" s="22">
        <v>41617</v>
      </c>
      <c r="B9" s="19">
        <v>141019</v>
      </c>
      <c r="C9" s="19">
        <f>MONTH(A9)</f>
        <v>12</v>
      </c>
      <c r="D9" s="19">
        <f>YEAR(A9)</f>
        <v>2013</v>
      </c>
      <c r="E9" s="25">
        <v>6</v>
      </c>
      <c r="F9" s="19">
        <v>1</v>
      </c>
      <c r="G9" s="19" t="s">
        <v>6</v>
      </c>
      <c r="H9" s="19">
        <f t="shared" si="0"/>
        <v>38</v>
      </c>
      <c r="L9" s="5">
        <v>3</v>
      </c>
      <c r="M9" s="4">
        <v>1</v>
      </c>
      <c r="N9" s="6">
        <v>12</v>
      </c>
    </row>
    <row r="10" spans="1:23" x14ac:dyDescent="0.3">
      <c r="A10" s="21">
        <v>41642</v>
      </c>
      <c r="B10" s="18">
        <v>141001</v>
      </c>
      <c r="C10" s="18">
        <f>MONTH(A10)</f>
        <v>1</v>
      </c>
      <c r="D10" s="18">
        <f>YEAR(A10)</f>
        <v>2014</v>
      </c>
      <c r="E10" s="24">
        <v>1</v>
      </c>
      <c r="F10" s="18">
        <v>2</v>
      </c>
      <c r="G10" s="18" t="s">
        <v>4</v>
      </c>
      <c r="H10" s="18">
        <f t="shared" si="0"/>
        <v>35</v>
      </c>
      <c r="L10" s="5">
        <v>4</v>
      </c>
      <c r="M10" s="4">
        <v>1</v>
      </c>
      <c r="N10" s="6">
        <v>12</v>
      </c>
    </row>
    <row r="11" spans="1:23" x14ac:dyDescent="0.3">
      <c r="A11" s="22">
        <v>41642</v>
      </c>
      <c r="B11" s="19">
        <v>141012</v>
      </c>
      <c r="C11" s="19">
        <f>MONTH(A11)</f>
        <v>1</v>
      </c>
      <c r="D11" s="19">
        <f>YEAR(A11)</f>
        <v>2014</v>
      </c>
      <c r="E11" s="25">
        <v>1</v>
      </c>
      <c r="F11" s="19">
        <v>2</v>
      </c>
      <c r="G11" s="19" t="s">
        <v>4</v>
      </c>
      <c r="H11" s="19">
        <f t="shared" si="0"/>
        <v>38</v>
      </c>
      <c r="L11" s="3" t="s">
        <v>9</v>
      </c>
      <c r="M11" s="4">
        <v>11</v>
      </c>
      <c r="N11" s="6">
        <v>87</v>
      </c>
    </row>
    <row r="12" spans="1:23" x14ac:dyDescent="0.3">
      <c r="A12" s="21">
        <v>41643</v>
      </c>
      <c r="B12" s="18">
        <v>141005</v>
      </c>
      <c r="C12" s="18">
        <f>MONTH(A12)</f>
        <v>1</v>
      </c>
      <c r="D12" s="18">
        <f>YEAR(A12)</f>
        <v>2014</v>
      </c>
      <c r="E12" s="24">
        <v>12</v>
      </c>
      <c r="F12" s="18">
        <v>10</v>
      </c>
      <c r="G12" s="18" t="s">
        <v>15</v>
      </c>
      <c r="H12" s="18">
        <f t="shared" si="0"/>
        <v>35</v>
      </c>
    </row>
    <row r="13" spans="1:23" x14ac:dyDescent="0.3">
      <c r="A13" s="21">
        <v>41643</v>
      </c>
      <c r="B13" s="18">
        <v>141009</v>
      </c>
      <c r="C13" s="18">
        <f>MONTH(A13)</f>
        <v>1</v>
      </c>
      <c r="D13" s="18">
        <f>YEAR(A13)</f>
        <v>2014</v>
      </c>
      <c r="E13" s="24">
        <v>12</v>
      </c>
      <c r="F13" s="18">
        <v>10</v>
      </c>
      <c r="G13" s="18" t="s">
        <v>5</v>
      </c>
      <c r="H13" s="18">
        <f t="shared" si="0"/>
        <v>35</v>
      </c>
    </row>
    <row r="14" spans="1:23" x14ac:dyDescent="0.3">
      <c r="A14" s="22">
        <v>41643</v>
      </c>
      <c r="B14" s="19">
        <v>141016</v>
      </c>
      <c r="C14" s="19">
        <f>MONTH(A14)</f>
        <v>1</v>
      </c>
      <c r="D14" s="19">
        <f>YEAR(A14)</f>
        <v>2014</v>
      </c>
      <c r="E14" s="25">
        <v>12</v>
      </c>
      <c r="F14" s="19">
        <v>10</v>
      </c>
      <c r="G14" s="19" t="s">
        <v>15</v>
      </c>
      <c r="H14" s="19">
        <f t="shared" si="0"/>
        <v>38</v>
      </c>
    </row>
    <row r="15" spans="1:23" x14ac:dyDescent="0.3">
      <c r="A15" s="23">
        <v>41643</v>
      </c>
      <c r="B15" s="20">
        <v>141020</v>
      </c>
      <c r="C15" s="20">
        <f>MONTH(A15)</f>
        <v>1</v>
      </c>
      <c r="D15" s="20">
        <f>YEAR(A15)</f>
        <v>2014</v>
      </c>
      <c r="E15" s="26">
        <v>12</v>
      </c>
      <c r="F15" s="20">
        <v>10</v>
      </c>
      <c r="G15" s="20" t="s">
        <v>5</v>
      </c>
      <c r="H15" s="20">
        <f t="shared" si="0"/>
        <v>36</v>
      </c>
    </row>
    <row r="16" spans="1:23" x14ac:dyDescent="0.3">
      <c r="A16" s="23">
        <v>41677</v>
      </c>
      <c r="B16" s="20">
        <v>141003</v>
      </c>
      <c r="C16" s="20">
        <f>MONTH(A16)</f>
        <v>2</v>
      </c>
      <c r="D16" s="20">
        <f>YEAR(A16)</f>
        <v>2014</v>
      </c>
      <c r="E16" s="26">
        <v>10</v>
      </c>
      <c r="F16" s="20">
        <v>1</v>
      </c>
      <c r="G16" s="20" t="s">
        <v>5</v>
      </c>
      <c r="H16" s="20">
        <f t="shared" si="0"/>
        <v>36</v>
      </c>
    </row>
    <row r="17" spans="1:8" x14ac:dyDescent="0.3">
      <c r="A17" s="22">
        <v>41677</v>
      </c>
      <c r="B17" s="19">
        <v>141014</v>
      </c>
      <c r="C17" s="19">
        <f>MONTH(A17)</f>
        <v>2</v>
      </c>
      <c r="D17" s="19">
        <f>YEAR(A17)</f>
        <v>2014</v>
      </c>
      <c r="E17" s="25">
        <v>10</v>
      </c>
      <c r="F17" s="19">
        <v>1</v>
      </c>
      <c r="G17" s="19" t="s">
        <v>5</v>
      </c>
      <c r="H17" s="19">
        <f t="shared" si="0"/>
        <v>38</v>
      </c>
    </row>
    <row r="18" spans="1:8" x14ac:dyDescent="0.3">
      <c r="A18" s="23">
        <v>41678</v>
      </c>
      <c r="B18" s="20">
        <v>141002</v>
      </c>
      <c r="C18" s="20">
        <f>MONTH(A18)</f>
        <v>2</v>
      </c>
      <c r="D18" s="20">
        <f>YEAR(A18)</f>
        <v>2014</v>
      </c>
      <c r="E18" s="26">
        <v>10</v>
      </c>
      <c r="F18" s="20">
        <v>5</v>
      </c>
      <c r="G18" s="20" t="s">
        <v>4</v>
      </c>
      <c r="H18" s="20">
        <f t="shared" si="0"/>
        <v>36</v>
      </c>
    </row>
    <row r="19" spans="1:8" x14ac:dyDescent="0.3">
      <c r="A19" s="23">
        <v>41678</v>
      </c>
      <c r="B19" s="20">
        <v>141013</v>
      </c>
      <c r="C19" s="20">
        <f>MONTH(A19)</f>
        <v>2</v>
      </c>
      <c r="D19" s="20">
        <f>YEAR(A19)</f>
        <v>2014</v>
      </c>
      <c r="E19" s="26">
        <v>10</v>
      </c>
      <c r="F19" s="20">
        <v>5</v>
      </c>
      <c r="G19" s="20" t="s">
        <v>4</v>
      </c>
      <c r="H19" s="20">
        <f t="shared" si="0"/>
        <v>36</v>
      </c>
    </row>
    <row r="20" spans="1:8" x14ac:dyDescent="0.3">
      <c r="A20" s="23">
        <v>41702</v>
      </c>
      <c r="B20" s="20">
        <v>141010</v>
      </c>
      <c r="C20" s="20">
        <f>MONTH(A20)</f>
        <v>3</v>
      </c>
      <c r="D20" s="20">
        <f>YEAR(A20)</f>
        <v>2014</v>
      </c>
      <c r="E20" s="26">
        <v>12</v>
      </c>
      <c r="F20" s="20">
        <v>10</v>
      </c>
      <c r="G20" s="20" t="s">
        <v>5</v>
      </c>
      <c r="H20" s="20">
        <f t="shared" si="0"/>
        <v>36</v>
      </c>
    </row>
    <row r="21" spans="1:8" x14ac:dyDescent="0.3">
      <c r="A21" s="21">
        <v>41702</v>
      </c>
      <c r="B21" s="18">
        <v>141021</v>
      </c>
      <c r="C21" s="18">
        <f>MONTH(A21)</f>
        <v>3</v>
      </c>
      <c r="D21" s="18">
        <f>YEAR(A21)</f>
        <v>2014</v>
      </c>
      <c r="E21" s="24">
        <v>12</v>
      </c>
      <c r="F21" s="18">
        <v>10</v>
      </c>
      <c r="G21" s="18" t="s">
        <v>5</v>
      </c>
      <c r="H21" s="18">
        <f t="shared" si="0"/>
        <v>35</v>
      </c>
    </row>
    <row r="22" spans="1:8" x14ac:dyDescent="0.3">
      <c r="A22" s="21">
        <v>41733</v>
      </c>
      <c r="B22" s="18">
        <v>141011</v>
      </c>
      <c r="C22" s="18">
        <f>MONTH(A22)</f>
        <v>4</v>
      </c>
      <c r="D22" s="18">
        <f>YEAR(A22)</f>
        <v>2014</v>
      </c>
      <c r="E22" s="24">
        <v>12</v>
      </c>
      <c r="F22" s="18">
        <v>10</v>
      </c>
      <c r="G22" s="18" t="s">
        <v>15</v>
      </c>
      <c r="H22" s="18">
        <f t="shared" si="0"/>
        <v>35</v>
      </c>
    </row>
    <row r="23" spans="1:8" x14ac:dyDescent="0.3">
      <c r="A23" s="21">
        <v>41733</v>
      </c>
      <c r="B23" s="18">
        <v>141022</v>
      </c>
      <c r="C23" s="18">
        <f>MONTH(A23)</f>
        <v>4</v>
      </c>
      <c r="D23" s="18">
        <f>YEAR(A23)</f>
        <v>2014</v>
      </c>
      <c r="E23" s="24">
        <v>12</v>
      </c>
      <c r="F23" s="18">
        <v>10</v>
      </c>
      <c r="G23" s="18" t="s">
        <v>15</v>
      </c>
      <c r="H23" s="18">
        <f t="shared" si="0"/>
        <v>35</v>
      </c>
    </row>
  </sheetData>
  <autoFilter ref="A1:H23"/>
  <sortState ref="A2:G23">
    <sortCondition ref="A6"/>
  </sortState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F6" sqref="F6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2" x14ac:dyDescent="0.3">
      <c r="A1" s="1" t="s">
        <v>18</v>
      </c>
      <c r="B1" s="10">
        <v>0.88402777777777775</v>
      </c>
    </row>
    <row r="2" spans="1:2" x14ac:dyDescent="0.3">
      <c r="A2" s="10" t="s">
        <v>19</v>
      </c>
      <c r="B2" s="1">
        <v>41765</v>
      </c>
    </row>
    <row r="3" spans="1:2" x14ac:dyDescent="0.3">
      <c r="A3" s="11" t="s">
        <v>20</v>
      </c>
      <c r="B3" s="11">
        <v>41765.884027777778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2"/>
  <sheetViews>
    <sheetView workbookViewId="0">
      <selection activeCell="D28" sqref="D28"/>
    </sheetView>
  </sheetViews>
  <sheetFormatPr defaultRowHeight="14.4" x14ac:dyDescent="0.3"/>
  <cols>
    <col min="1" max="15" width="12.77734375" customWidth="1"/>
  </cols>
  <sheetData>
    <row r="1" spans="1:15" x14ac:dyDescent="0.3">
      <c r="A1" s="12" t="s">
        <v>0</v>
      </c>
      <c r="B1" t="s">
        <v>16</v>
      </c>
      <c r="C1" t="s">
        <v>11</v>
      </c>
      <c r="D1" t="s">
        <v>7</v>
      </c>
      <c r="F1" t="s">
        <v>1</v>
      </c>
      <c r="N1" t="s">
        <v>2</v>
      </c>
      <c r="O1" t="s">
        <v>3</v>
      </c>
    </row>
    <row r="2" spans="1:15" x14ac:dyDescent="0.3">
      <c r="A2" s="12">
        <v>41554</v>
      </c>
      <c r="B2">
        <v>141004</v>
      </c>
      <c r="C2">
        <v>10</v>
      </c>
      <c r="D2">
        <v>2013</v>
      </c>
      <c r="F2">
        <v>3</v>
      </c>
      <c r="N2">
        <v>2</v>
      </c>
      <c r="O2" s="14" t="s">
        <v>5</v>
      </c>
    </row>
    <row r="3" spans="1:15" x14ac:dyDescent="0.3">
      <c r="A3" s="12">
        <v>41554</v>
      </c>
      <c r="B3">
        <v>141015</v>
      </c>
      <c r="C3">
        <v>10</v>
      </c>
      <c r="D3">
        <v>2013</v>
      </c>
      <c r="F3">
        <v>3</v>
      </c>
      <c r="N3">
        <v>2</v>
      </c>
      <c r="O3" s="15" t="s">
        <v>5</v>
      </c>
    </row>
    <row r="4" spans="1:15" x14ac:dyDescent="0.3">
      <c r="A4" s="12">
        <v>41585</v>
      </c>
      <c r="B4">
        <v>141006</v>
      </c>
      <c r="C4">
        <v>11</v>
      </c>
      <c r="D4">
        <v>2013</v>
      </c>
      <c r="F4">
        <v>3</v>
      </c>
      <c r="N4">
        <v>2</v>
      </c>
      <c r="O4" s="15" t="s">
        <v>6</v>
      </c>
    </row>
    <row r="5" spans="1:15" x14ac:dyDescent="0.3">
      <c r="A5" s="12">
        <v>41585</v>
      </c>
      <c r="B5">
        <v>141007</v>
      </c>
      <c r="C5">
        <v>11</v>
      </c>
      <c r="D5">
        <v>2013</v>
      </c>
      <c r="F5">
        <v>6</v>
      </c>
      <c r="N5">
        <v>1</v>
      </c>
      <c r="O5" s="15" t="s">
        <v>6</v>
      </c>
    </row>
    <row r="6" spans="1:15" x14ac:dyDescent="0.3">
      <c r="A6" s="12"/>
      <c r="O6" s="15"/>
    </row>
    <row r="7" spans="1:15" x14ac:dyDescent="0.3">
      <c r="A7" s="12"/>
      <c r="O7" s="15"/>
    </row>
    <row r="8" spans="1:15" x14ac:dyDescent="0.3">
      <c r="A8" s="12"/>
      <c r="O8" s="15"/>
    </row>
    <row r="9" spans="1:15" x14ac:dyDescent="0.3">
      <c r="A9" s="12"/>
      <c r="O9" s="15"/>
    </row>
    <row r="10" spans="1:15" x14ac:dyDescent="0.3">
      <c r="A10" s="12"/>
      <c r="O10" s="15"/>
    </row>
    <row r="11" spans="1:15" x14ac:dyDescent="0.3">
      <c r="A11" s="12"/>
      <c r="O11" s="15"/>
    </row>
    <row r="12" spans="1:15" x14ac:dyDescent="0.3">
      <c r="A12" s="12"/>
      <c r="O12" s="15"/>
    </row>
    <row r="13" spans="1:15" x14ac:dyDescent="0.3">
      <c r="A13" s="12"/>
      <c r="O13" s="15"/>
    </row>
    <row r="14" spans="1:15" x14ac:dyDescent="0.3">
      <c r="A14" s="12">
        <v>41585</v>
      </c>
      <c r="B14">
        <v>141017</v>
      </c>
      <c r="C14">
        <v>11</v>
      </c>
      <c r="D14">
        <v>2013</v>
      </c>
      <c r="F14">
        <v>3</v>
      </c>
      <c r="N14">
        <v>2</v>
      </c>
      <c r="O14" s="14" t="s">
        <v>6</v>
      </c>
    </row>
    <row r="15" spans="1:15" x14ac:dyDescent="0.3">
      <c r="A15" s="12">
        <v>41585</v>
      </c>
      <c r="B15">
        <v>141018</v>
      </c>
      <c r="C15">
        <v>11</v>
      </c>
      <c r="D15">
        <v>2013</v>
      </c>
      <c r="F15">
        <v>6</v>
      </c>
      <c r="N15">
        <v>1</v>
      </c>
      <c r="O15" s="14" t="s">
        <v>6</v>
      </c>
    </row>
    <row r="16" spans="1:15" x14ac:dyDescent="0.3">
      <c r="A16" s="12">
        <v>41642</v>
      </c>
      <c r="B16">
        <v>141012</v>
      </c>
      <c r="C16">
        <v>1</v>
      </c>
      <c r="D16">
        <v>2014</v>
      </c>
      <c r="F16">
        <v>1</v>
      </c>
      <c r="N16">
        <v>2</v>
      </c>
      <c r="O16" s="14" t="s">
        <v>4</v>
      </c>
    </row>
    <row r="17" spans="1:15" x14ac:dyDescent="0.3">
      <c r="A17" s="12">
        <v>41643</v>
      </c>
      <c r="B17">
        <v>141005</v>
      </c>
      <c r="C17">
        <v>1</v>
      </c>
      <c r="D17">
        <v>2014</v>
      </c>
      <c r="F17">
        <v>12</v>
      </c>
      <c r="N17">
        <v>10</v>
      </c>
      <c r="O17" s="14" t="s">
        <v>15</v>
      </c>
    </row>
    <row r="18" spans="1:15" x14ac:dyDescent="0.3">
      <c r="A18" s="12">
        <v>41643</v>
      </c>
      <c r="B18">
        <v>141016</v>
      </c>
      <c r="C18">
        <v>1</v>
      </c>
      <c r="D18">
        <v>2014</v>
      </c>
      <c r="F18">
        <v>12</v>
      </c>
      <c r="N18">
        <v>10</v>
      </c>
      <c r="O18" s="15" t="s">
        <v>15</v>
      </c>
    </row>
    <row r="19" spans="1:15" x14ac:dyDescent="0.3">
      <c r="A19" s="12">
        <v>41643</v>
      </c>
      <c r="B19">
        <v>141020</v>
      </c>
      <c r="C19">
        <v>1</v>
      </c>
      <c r="D19">
        <v>2014</v>
      </c>
      <c r="F19">
        <v>12</v>
      </c>
      <c r="N19">
        <v>10</v>
      </c>
      <c r="O19" s="15" t="s">
        <v>5</v>
      </c>
    </row>
    <row r="20" spans="1:15" x14ac:dyDescent="0.3">
      <c r="A20" s="12">
        <v>41677</v>
      </c>
      <c r="B20">
        <v>141003</v>
      </c>
      <c r="C20">
        <v>2</v>
      </c>
      <c r="D20">
        <v>2014</v>
      </c>
      <c r="F20">
        <v>10</v>
      </c>
      <c r="N20">
        <v>1</v>
      </c>
      <c r="O20" s="15" t="s">
        <v>5</v>
      </c>
    </row>
    <row r="21" spans="1:15" x14ac:dyDescent="0.3">
      <c r="A21" s="12">
        <v>41677</v>
      </c>
      <c r="B21">
        <v>141014</v>
      </c>
      <c r="C21">
        <v>2</v>
      </c>
      <c r="D21">
        <v>2014</v>
      </c>
      <c r="F21">
        <v>10</v>
      </c>
      <c r="N21">
        <v>1</v>
      </c>
      <c r="O21" s="15" t="s">
        <v>5</v>
      </c>
    </row>
    <row r="22" spans="1:15" x14ac:dyDescent="0.3">
      <c r="A22" s="12">
        <v>41678</v>
      </c>
      <c r="B22">
        <v>141002</v>
      </c>
      <c r="C22">
        <v>2</v>
      </c>
      <c r="D22">
        <v>2014</v>
      </c>
      <c r="F22" s="13">
        <v>10</v>
      </c>
      <c r="G22" s="13"/>
      <c r="H22" s="13"/>
      <c r="I22" s="13"/>
      <c r="J22" s="13"/>
      <c r="K22" s="13"/>
      <c r="L22" s="13"/>
      <c r="M22" s="13"/>
      <c r="N22">
        <v>5</v>
      </c>
      <c r="O22" s="16" t="s">
        <v>4</v>
      </c>
    </row>
    <row r="23" spans="1:15" x14ac:dyDescent="0.3">
      <c r="A23" s="12">
        <v>41678</v>
      </c>
      <c r="B23">
        <v>141013</v>
      </c>
      <c r="C23">
        <v>2</v>
      </c>
      <c r="D23">
        <v>2014</v>
      </c>
      <c r="F23" s="13">
        <v>10</v>
      </c>
      <c r="G23" s="13"/>
      <c r="H23" s="13"/>
      <c r="I23" s="13"/>
      <c r="J23" s="13"/>
      <c r="K23" s="13"/>
      <c r="L23" s="13"/>
      <c r="M23" s="13"/>
      <c r="N23">
        <v>5</v>
      </c>
      <c r="O23" s="16" t="s">
        <v>4</v>
      </c>
    </row>
    <row r="24" spans="1:15" x14ac:dyDescent="0.3">
      <c r="A24" s="12">
        <v>41702</v>
      </c>
      <c r="B24">
        <v>141010</v>
      </c>
      <c r="C24">
        <v>3</v>
      </c>
      <c r="D24">
        <v>2014</v>
      </c>
      <c r="F24" s="13">
        <v>12</v>
      </c>
      <c r="G24" s="13"/>
      <c r="H24" s="13"/>
      <c r="I24" s="13"/>
      <c r="J24" s="13"/>
      <c r="K24" s="13"/>
      <c r="L24" s="13"/>
      <c r="M24" s="13"/>
      <c r="N24">
        <v>10</v>
      </c>
      <c r="O24" s="17" t="s">
        <v>5</v>
      </c>
    </row>
    <row r="25" spans="1:15" x14ac:dyDescent="0.3">
      <c r="A25" s="12">
        <v>41702</v>
      </c>
      <c r="B25">
        <v>141021</v>
      </c>
      <c r="C25">
        <v>3</v>
      </c>
      <c r="D25">
        <v>2014</v>
      </c>
      <c r="F25" s="13">
        <v>12</v>
      </c>
      <c r="G25" s="13"/>
      <c r="H25" s="13"/>
      <c r="I25" s="13"/>
      <c r="J25" s="13"/>
      <c r="K25" s="13"/>
      <c r="L25" s="13"/>
      <c r="M25" s="13"/>
      <c r="N25">
        <v>10</v>
      </c>
      <c r="O25" s="17" t="s">
        <v>5</v>
      </c>
    </row>
    <row r="26" spans="1:15" x14ac:dyDescent="0.3">
      <c r="A26" s="12">
        <v>41733</v>
      </c>
      <c r="B26">
        <v>141011</v>
      </c>
      <c r="C26">
        <v>4</v>
      </c>
      <c r="D26">
        <v>2014</v>
      </c>
      <c r="F26" s="13">
        <v>12</v>
      </c>
      <c r="G26" s="13"/>
      <c r="H26" s="13"/>
      <c r="I26" s="13"/>
      <c r="J26" s="13"/>
      <c r="K26" s="13"/>
      <c r="L26" s="13"/>
      <c r="M26" s="13"/>
      <c r="N26">
        <v>10</v>
      </c>
      <c r="O26" t="s">
        <v>15</v>
      </c>
    </row>
    <row r="27" spans="1:15" x14ac:dyDescent="0.3">
      <c r="A27" s="12">
        <v>41733</v>
      </c>
      <c r="B27">
        <v>141022</v>
      </c>
      <c r="C27">
        <v>4</v>
      </c>
      <c r="D27">
        <v>2014</v>
      </c>
      <c r="F27" s="13">
        <v>12</v>
      </c>
      <c r="G27" s="13"/>
      <c r="H27" s="13"/>
      <c r="I27" s="13"/>
      <c r="J27" s="13"/>
      <c r="K27" s="13"/>
      <c r="L27" s="13"/>
      <c r="M27" s="13"/>
      <c r="N27">
        <v>10</v>
      </c>
      <c r="O27" t="s">
        <v>15</v>
      </c>
    </row>
    <row r="52" spans="15:15" x14ac:dyDescent="0.3">
      <c r="O52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ColorIndex</vt:lpstr>
      <vt:lpstr>Quick Current Date and Time</vt:lpstr>
      <vt:lpstr>Repeat Task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2014-02-05T15:37:09Z</dcterms:created>
  <dcterms:modified xsi:type="dcterms:W3CDTF">2014-05-06T21:38:48Z</dcterms:modified>
</cp:coreProperties>
</file>